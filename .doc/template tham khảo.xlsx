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XMTD-IT\Document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1" l="1"/>
  <c r="A10" i="1" l="1"/>
  <c r="A12" i="1" l="1"/>
  <c r="A14" i="1" s="1"/>
</calcChain>
</file>

<file path=xl/sharedStrings.xml><?xml version="1.0" encoding="utf-8"?>
<sst xmlns="http://schemas.openxmlformats.org/spreadsheetml/2006/main" count="43" uniqueCount="31">
  <si>
    <t>BÁO CÁO THĂM CỬA HÀNG TUẦN 21</t>
  </si>
  <si>
    <t>Địa bàn: An Giang</t>
  </si>
  <si>
    <t>I. BÁO CÁO THỰC TẾ THĂM CỬA HÀNG TUẦN 20/2025</t>
  </si>
  <si>
    <t>Stt</t>
  </si>
  <si>
    <t>Tên Cửa hàng</t>
  </si>
  <si>
    <t>Ngày thăm</t>
  </si>
  <si>
    <t>Người tiếp xúc</t>
  </si>
  <si>
    <t>TIÊU THỤ XM CỦA CỬA HÀNG</t>
  </si>
  <si>
    <t>Ý kiến CH</t>
  </si>
  <si>
    <t>Loại XM</t>
  </si>
  <si>
    <t>Giá mua</t>
  </si>
  <si>
    <t>Giá bán</t>
  </si>
  <si>
    <r>
      <t xml:space="preserve">SLTTBQ 
</t>
    </r>
    <r>
      <rPr>
        <sz val="10"/>
        <color theme="1"/>
        <rFont val="Times New Roman"/>
        <family val="1"/>
      </rPr>
      <t>(tấn/tháng)</t>
    </r>
  </si>
  <si>
    <t>Mua qua NPP</t>
  </si>
  <si>
    <t>Hai Bé</t>
  </si>
  <si>
    <t>Chị Ngọt</t>
  </si>
  <si>
    <t>Vicem đa dụng</t>
  </si>
  <si>
    <t>Trang Trí</t>
  </si>
  <si>
    <t>Insee</t>
  </si>
  <si>
    <t>Diễm Huy</t>
  </si>
  <si>
    <t>Hà tiên 2 (Vicem)</t>
  </si>
  <si>
    <t>Mỹ Hòa</t>
  </si>
  <si>
    <t>Quách Ngân</t>
  </si>
  <si>
    <t>Chu</t>
  </si>
  <si>
    <t>Giá nhận tại nhà máy</t>
  </si>
  <si>
    <t>Minh Phát</t>
  </si>
  <si>
    <t>Chị</t>
  </si>
  <si>
    <t>Kỷ An</t>
  </si>
  <si>
    <t>Vy</t>
  </si>
  <si>
    <t>Ht 2 - CT đa dụng</t>
  </si>
  <si>
    <t>Vận Tải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</si>
</sst>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/>
    <xf numFmtId="165" fontId="3" fillId="0" borderId="0" xfId="1" applyNumberFormat="1" applyFont="1" applyAlignment="1">
      <alignment vertical="center"/>
    </xf>
    <xf numFmtId="165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5" fontId="4" fillId="0" borderId="0" xfId="1" applyNumberFormat="1" applyFont="1" applyAlignment="1">
      <alignment vertical="center"/>
    </xf>
    <xf numFmtId="165" fontId="4" fillId="0" borderId="0" xfId="1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4" fontId="3" fillId="0" borderId="6" xfId="0" quotePrefix="1" applyNumberFormat="1" applyFont="1" applyBorder="1" applyAlignment="1">
      <alignment horizontal="center" vertical="center"/>
    </xf>
    <xf numFmtId="0" fontId="3" fillId="0" borderId="7" xfId="0" applyFont="1" applyBorder="1" applyAlignment="1">
      <alignment vertical="center" wrapText="1"/>
    </xf>
    <xf numFmtId="165" fontId="3" fillId="0" borderId="7" xfId="1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14" fontId="3" fillId="0" borderId="8" xfId="0" quotePrefix="1" applyNumberFormat="1" applyFont="1" applyBorder="1" applyAlignment="1">
      <alignment horizontal="center" vertical="center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165" fontId="3" fillId="0" borderId="7" xfId="1" applyNumberFormat="1" applyFont="1" applyBorder="1" applyAlignment="1">
      <alignment horizontal="center" vertical="center"/>
    </xf>
    <xf numFmtId="14" fontId="3" fillId="0" borderId="9" xfId="0" quotePrefix="1" applyNumberFormat="1" applyFont="1" applyBorder="1" applyAlignment="1">
      <alignment horizontal="center" vertical="center"/>
    </xf>
    <xf numFmtId="0" fontId="3" fillId="0" borderId="7" xfId="0" applyFont="1" applyBorder="1"/>
    <xf numFmtId="0" fontId="3" fillId="0" borderId="7" xfId="0" applyFont="1" applyBorder="1" applyAlignment="1">
      <alignment horizontal="left"/>
    </xf>
    <xf numFmtId="0" fontId="3" fillId="0" borderId="9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4" xfId="0" quotePrefix="1" applyFont="1" applyBorder="1" applyAlignment="1">
      <alignment horizontal="center" vertical="center" wrapText="1"/>
    </xf>
    <xf numFmtId="14" fontId="3" fillId="0" borderId="15" xfId="0" quotePrefix="1" applyNumberFormat="1" applyFont="1" applyBorder="1" applyAlignment="1">
      <alignment horizontal="center" vertical="center"/>
    </xf>
    <xf numFmtId="0" fontId="3" fillId="0" borderId="15" xfId="0" applyFont="1" applyBorder="1" applyAlignment="1">
      <alignment vertical="center" wrapText="1"/>
    </xf>
    <xf numFmtId="165" fontId="3" fillId="0" borderId="16" xfId="1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center" vertical="center" wrapText="1"/>
    </xf>
    <xf numFmtId="165" fontId="3" fillId="0" borderId="9" xfId="1" applyNumberFormat="1" applyFont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/>
    </xf>
    <xf numFmtId="14" fontId="4" fillId="2" borderId="1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165" fontId="4" fillId="2" borderId="10" xfId="1" applyNumberFormat="1" applyFont="1" applyFill="1" applyBorder="1" applyAlignment="1">
      <alignment horizontal="center" vertical="center"/>
    </xf>
    <xf numFmtId="165" fontId="4" fillId="2" borderId="10" xfId="1" applyNumberFormat="1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zoomScale="85" zoomScaleNormal="85" workbookViewId="0">
      <selection activeCell="F29" sqref="F29"/>
    </sheetView>
  </sheetViews>
  <sheetFormatPr defaultRowHeight="15" x14ac:dyDescent="0.25"/>
  <cols>
    <col min="1" max="1" width="14.85546875" customWidth="1"/>
    <col min="2" max="2" width="22.42578125" customWidth="1"/>
    <col min="3" max="3" width="23" customWidth="1"/>
    <col min="4" max="4" width="15.5703125" customWidth="1"/>
    <col min="5" max="5" width="24.5703125" customWidth="1"/>
    <col min="6" max="6" width="21.42578125" customWidth="1"/>
    <col min="7" max="7" width="21" customWidth="1"/>
    <col min="8" max="8" width="25.85546875" customWidth="1"/>
    <col min="9" max="9" width="29.28515625" customWidth="1"/>
    <col min="10" max="10" width="57.7109375" customWidth="1"/>
  </cols>
  <sheetData>
    <row r="1" spans="1:10" ht="19.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5.7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5.75" x14ac:dyDescent="0.25">
      <c r="A3" s="3"/>
      <c r="B3" s="3"/>
      <c r="C3" s="4"/>
      <c r="D3" s="3"/>
      <c r="E3" s="5"/>
      <c r="F3" s="6"/>
      <c r="G3" s="6"/>
      <c r="H3" s="7"/>
      <c r="I3" s="8"/>
      <c r="J3" s="3"/>
    </row>
    <row r="4" spans="1:10" ht="16.5" thickBot="1" x14ac:dyDescent="0.3">
      <c r="A4" s="9" t="s">
        <v>2</v>
      </c>
      <c r="B4" s="10"/>
      <c r="C4" s="11"/>
      <c r="D4" s="10"/>
      <c r="E4" s="9"/>
      <c r="F4" s="12"/>
      <c r="G4" s="12"/>
      <c r="H4" s="13"/>
      <c r="I4" s="14"/>
      <c r="J4" s="10"/>
    </row>
    <row r="5" spans="1:10" ht="16.5" thickBot="1" x14ac:dyDescent="0.3">
      <c r="A5" s="15" t="s">
        <v>3</v>
      </c>
      <c r="B5" s="49" t="s">
        <v>4</v>
      </c>
      <c r="C5" s="16" t="s">
        <v>5</v>
      </c>
      <c r="D5" s="15" t="s">
        <v>6</v>
      </c>
      <c r="E5" s="17" t="s">
        <v>7</v>
      </c>
      <c r="F5" s="18"/>
      <c r="G5" s="18"/>
      <c r="H5" s="18"/>
      <c r="I5" s="19"/>
      <c r="J5" s="15" t="s">
        <v>8</v>
      </c>
    </row>
    <row r="6" spans="1:10" ht="32.25" thickBot="1" x14ac:dyDescent="0.3">
      <c r="A6" s="43"/>
      <c r="B6" s="50"/>
      <c r="C6" s="44"/>
      <c r="D6" s="43"/>
      <c r="E6" s="45" t="s">
        <v>9</v>
      </c>
      <c r="F6" s="46" t="s">
        <v>10</v>
      </c>
      <c r="G6" s="46" t="s">
        <v>11</v>
      </c>
      <c r="H6" s="47" t="s">
        <v>12</v>
      </c>
      <c r="I6" s="48" t="s">
        <v>13</v>
      </c>
      <c r="J6" s="43"/>
    </row>
    <row r="7" spans="1:10" ht="15.75" x14ac:dyDescent="0.25">
      <c r="A7" s="55">
        <f>MAX($A$6:A6)+1</f>
        <v>1</v>
      </c>
      <c r="B7" s="51" t="s">
        <v>14</v>
      </c>
      <c r="C7" s="25">
        <v>45796</v>
      </c>
      <c r="D7" s="25" t="s">
        <v>15</v>
      </c>
      <c r="E7" s="26" t="s">
        <v>16</v>
      </c>
      <c r="F7" s="42">
        <v>64500</v>
      </c>
      <c r="G7" s="42">
        <v>85000</v>
      </c>
      <c r="H7" s="42">
        <v>40</v>
      </c>
      <c r="I7" s="32" t="s">
        <v>17</v>
      </c>
      <c r="J7" s="34"/>
    </row>
    <row r="8" spans="1:10" ht="15.75" x14ac:dyDescent="0.25">
      <c r="A8" s="55"/>
      <c r="B8" s="51"/>
      <c r="C8" s="25"/>
      <c r="D8" s="25"/>
      <c r="E8" s="26" t="s">
        <v>18</v>
      </c>
      <c r="F8" s="23">
        <v>76500</v>
      </c>
      <c r="G8" s="23">
        <v>90000</v>
      </c>
      <c r="H8" s="23">
        <v>30</v>
      </c>
      <c r="I8" s="24" t="s">
        <v>19</v>
      </c>
      <c r="J8" s="34"/>
    </row>
    <row r="9" spans="1:10" ht="15.75" x14ac:dyDescent="0.25">
      <c r="A9" s="56"/>
      <c r="B9" s="51"/>
      <c r="C9" s="25"/>
      <c r="D9" s="25"/>
      <c r="E9" s="26" t="s">
        <v>20</v>
      </c>
      <c r="F9" s="23">
        <v>62500</v>
      </c>
      <c r="G9" s="23">
        <v>80000</v>
      </c>
      <c r="H9" s="23">
        <v>40</v>
      </c>
      <c r="I9" s="24" t="s">
        <v>21</v>
      </c>
      <c r="J9" s="35"/>
    </row>
    <row r="10" spans="1:10" ht="15.75" x14ac:dyDescent="0.25">
      <c r="A10" s="57">
        <f>MAX($A$6:A9)+1</f>
        <v>2</v>
      </c>
      <c r="B10" s="52" t="s">
        <v>22</v>
      </c>
      <c r="C10" s="21">
        <v>45796</v>
      </c>
      <c r="D10" s="21" t="s">
        <v>23</v>
      </c>
      <c r="E10" s="22" t="s">
        <v>16</v>
      </c>
      <c r="F10" s="23">
        <v>58000</v>
      </c>
      <c r="G10" s="23">
        <v>75000</v>
      </c>
      <c r="H10" s="28">
        <v>400</v>
      </c>
      <c r="I10" s="24" t="s">
        <v>21</v>
      </c>
      <c r="J10" s="33" t="s">
        <v>24</v>
      </c>
    </row>
    <row r="11" spans="1:10" ht="15.75" x14ac:dyDescent="0.25">
      <c r="A11" s="55"/>
      <c r="B11" s="51"/>
      <c r="C11" s="25"/>
      <c r="D11" s="25"/>
      <c r="E11" s="26" t="s">
        <v>20</v>
      </c>
      <c r="F11" s="23">
        <v>55000</v>
      </c>
      <c r="G11" s="23">
        <v>70000</v>
      </c>
      <c r="H11" s="28">
        <v>100</v>
      </c>
      <c r="I11" s="24" t="s">
        <v>21</v>
      </c>
      <c r="J11" s="34"/>
    </row>
    <row r="12" spans="1:10" ht="15.75" x14ac:dyDescent="0.25">
      <c r="A12" s="57">
        <f>MAX($A$6:A11)+1</f>
        <v>3</v>
      </c>
      <c r="B12" s="52" t="s">
        <v>25</v>
      </c>
      <c r="C12" s="21">
        <v>45796</v>
      </c>
      <c r="D12" s="20" t="s">
        <v>26</v>
      </c>
      <c r="E12" s="22" t="s">
        <v>18</v>
      </c>
      <c r="F12" s="23">
        <v>76500</v>
      </c>
      <c r="G12" s="23">
        <v>85000</v>
      </c>
      <c r="H12" s="23">
        <v>100</v>
      </c>
      <c r="I12" s="24" t="s">
        <v>19</v>
      </c>
      <c r="J12" s="33"/>
    </row>
    <row r="13" spans="1:10" ht="15.75" x14ac:dyDescent="0.25">
      <c r="A13" s="55"/>
      <c r="B13" s="53"/>
      <c r="C13" s="29"/>
      <c r="D13" s="27"/>
      <c r="E13" s="26" t="s">
        <v>16</v>
      </c>
      <c r="F13" s="23">
        <v>64500</v>
      </c>
      <c r="G13" s="23">
        <v>80000</v>
      </c>
      <c r="H13" s="23">
        <v>150</v>
      </c>
      <c r="I13" s="24" t="s">
        <v>19</v>
      </c>
      <c r="J13" s="36"/>
    </row>
    <row r="14" spans="1:10" ht="15.75" x14ac:dyDescent="0.25">
      <c r="A14" s="57">
        <f>MAX($A$6:A13)+1</f>
        <v>4</v>
      </c>
      <c r="B14" s="52" t="s">
        <v>27</v>
      </c>
      <c r="C14" s="21">
        <v>45796</v>
      </c>
      <c r="D14" s="21" t="s">
        <v>28</v>
      </c>
      <c r="E14" s="30" t="s">
        <v>18</v>
      </c>
      <c r="F14" s="23">
        <v>76500</v>
      </c>
      <c r="G14" s="23">
        <v>90000</v>
      </c>
      <c r="H14" s="28">
        <v>200</v>
      </c>
      <c r="I14" s="31" t="s">
        <v>19</v>
      </c>
      <c r="J14" s="34"/>
    </row>
    <row r="15" spans="1:10" ht="15.75" x14ac:dyDescent="0.25">
      <c r="A15" s="55"/>
      <c r="B15" s="51"/>
      <c r="C15" s="25"/>
      <c r="D15" s="25"/>
      <c r="E15" s="30" t="s">
        <v>29</v>
      </c>
      <c r="F15" s="23">
        <v>63000</v>
      </c>
      <c r="G15" s="23">
        <v>80000</v>
      </c>
      <c r="H15" s="28">
        <v>200</v>
      </c>
      <c r="I15" s="31" t="s">
        <v>30</v>
      </c>
      <c r="J15" s="34"/>
    </row>
    <row r="16" spans="1:10" ht="16.5" thickBot="1" x14ac:dyDescent="0.3">
      <c r="A16" s="58"/>
      <c r="B16" s="54"/>
      <c r="C16" s="37"/>
      <c r="D16" s="37"/>
      <c r="E16" s="38" t="s">
        <v>16</v>
      </c>
      <c r="F16" s="39">
        <v>64000</v>
      </c>
      <c r="G16" s="39">
        <v>85000</v>
      </c>
      <c r="H16" s="39">
        <v>100</v>
      </c>
      <c r="I16" s="40" t="s">
        <v>19</v>
      </c>
      <c r="J16" s="41"/>
    </row>
  </sheetData>
  <mergeCells count="28">
    <mergeCell ref="A12:A13"/>
    <mergeCell ref="B12:B13"/>
    <mergeCell ref="C12:C13"/>
    <mergeCell ref="D12:D13"/>
    <mergeCell ref="J12:J13"/>
    <mergeCell ref="A14:A16"/>
    <mergeCell ref="B14:B16"/>
    <mergeCell ref="C14:C16"/>
    <mergeCell ref="D14:D16"/>
    <mergeCell ref="J14:J16"/>
    <mergeCell ref="A7:A9"/>
    <mergeCell ref="B7:B9"/>
    <mergeCell ref="C7:C9"/>
    <mergeCell ref="D7:D9"/>
    <mergeCell ref="J7:J9"/>
    <mergeCell ref="A10:A11"/>
    <mergeCell ref="B10:B11"/>
    <mergeCell ref="C10:C11"/>
    <mergeCell ref="D10:D11"/>
    <mergeCell ref="J10:J11"/>
    <mergeCell ref="A1:J1"/>
    <mergeCell ref="A2:J2"/>
    <mergeCell ref="A5:A6"/>
    <mergeCell ref="B5:B6"/>
    <mergeCell ref="C5:C6"/>
    <mergeCell ref="D5:D6"/>
    <mergeCell ref="E5:I5"/>
    <mergeCell ref="J5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XMTD-IT</dc:creator>
  <cp:lastModifiedBy>XMTD-IT</cp:lastModifiedBy>
  <dcterms:created xsi:type="dcterms:W3CDTF">2025-12-02T02:11:13Z</dcterms:created>
  <dcterms:modified xsi:type="dcterms:W3CDTF">2025-12-02T02:13:42Z</dcterms:modified>
</cp:coreProperties>
</file>